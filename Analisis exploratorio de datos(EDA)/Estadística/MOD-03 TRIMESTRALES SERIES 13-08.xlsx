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REDDY SANCHEZ ZAMORA\CURSO DE ANALISIS DE DATOS INCOEX\Fundamentos de ciencias de datos\SEMANA3\MODULO 2 Calidad de los datos\Ciencias-de-datos\MOD3\Estadística\"/>
    </mc:Choice>
  </mc:AlternateContent>
  <xr:revisionPtr revIDLastSave="0" documentId="8_{EDFFDAC0-1A6B-48EA-8752-91060939A353}" xr6:coauthVersionLast="47" xr6:coauthVersionMax="47" xr10:uidLastSave="{00000000-0000-0000-0000-000000000000}"/>
  <bookViews>
    <workbookView xWindow="20370" yWindow="-120" windowWidth="21840" windowHeight="13020" activeTab="3" xr2:uid="{32004F44-638E-4031-ADE3-4785167F722D}"/>
  </bookViews>
  <sheets>
    <sheet name="Hoja1" sheetId="1" r:id="rId1"/>
    <sheet name="Hoja2" sheetId="2" r:id="rId2"/>
    <sheet name="Hoja3" sheetId="3" r:id="rId3"/>
    <sheet name="Hoja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8" i="4" l="1"/>
  <c r="B27" i="4"/>
  <c r="B26" i="4"/>
  <c r="C23" i="4"/>
  <c r="C22" i="4"/>
  <c r="C21" i="4"/>
  <c r="C20" i="4"/>
  <c r="C17" i="4"/>
  <c r="C15" i="4"/>
  <c r="C13" i="4"/>
  <c r="E7" i="4"/>
  <c r="D7" i="4"/>
  <c r="C7" i="4"/>
  <c r="E23" i="2"/>
  <c r="E28" i="3"/>
  <c r="K14" i="3"/>
  <c r="K13" i="3"/>
  <c r="H16" i="3"/>
  <c r="H17" i="3"/>
  <c r="H18" i="3"/>
  <c r="H19" i="3"/>
  <c r="H20" i="3"/>
  <c r="H21" i="3"/>
  <c r="H22" i="3"/>
  <c r="H23" i="3"/>
  <c r="H24" i="3"/>
  <c r="H15" i="3"/>
  <c r="D17" i="3"/>
  <c r="D18" i="3"/>
  <c r="D19" i="3"/>
  <c r="D20" i="3"/>
  <c r="D21" i="3"/>
  <c r="D22" i="3"/>
  <c r="D23" i="3"/>
  <c r="D24" i="3"/>
  <c r="D16" i="3"/>
  <c r="D15" i="3"/>
  <c r="E15" i="2"/>
  <c r="E12" i="2"/>
  <c r="E9" i="1"/>
  <c r="E7" i="1"/>
  <c r="D5" i="1"/>
</calcChain>
</file>

<file path=xl/sharedStrings.xml><?xml version="1.0" encoding="utf-8"?>
<sst xmlns="http://schemas.openxmlformats.org/spreadsheetml/2006/main" count="52" uniqueCount="43">
  <si>
    <t>Variacion porcentual</t>
  </si>
  <si>
    <t>MMA3</t>
  </si>
  <si>
    <t>serie representa una creciente sostenida</t>
  </si>
  <si>
    <t>ma3</t>
  </si>
  <si>
    <t>Media</t>
  </si>
  <si>
    <t xml:space="preserve">Cuanto aumentaron ? </t>
  </si>
  <si>
    <t>la mayor venta fue 180 la menor 80</t>
  </si>
  <si>
    <t>tendencia creciente, media 141, aumento de enero a junio 80% de las ventas</t>
  </si>
  <si>
    <t>MV</t>
  </si>
  <si>
    <t>AÑO 1</t>
  </si>
  <si>
    <t>AÑO2</t>
  </si>
  <si>
    <t>AÑO1</t>
  </si>
  <si>
    <t>cuanto aumentaron?</t>
  </si>
  <si>
    <t xml:space="preserve">entregar el mapa conceptual al final del proyecto : </t>
  </si>
  <si>
    <t>hacer ejercicios y adjuntarlos</t>
  </si>
  <si>
    <t xml:space="preserve"> mañana en la noche </t>
  </si>
  <si>
    <t>MAPA CONCEPUTAL ES DE TODO EL MODULO</t>
  </si>
  <si>
    <t xml:space="preserve">min 800 enero </t>
  </si>
  <si>
    <t>2600 diciembre</t>
  </si>
  <si>
    <t>max 200 diciembre</t>
  </si>
  <si>
    <t>minimo</t>
  </si>
  <si>
    <t>Analizar los cambios el año 1</t>
  </si>
  <si>
    <t>Q1</t>
  </si>
  <si>
    <t>año1</t>
  </si>
  <si>
    <t>año2</t>
  </si>
  <si>
    <t>año3</t>
  </si>
  <si>
    <t>Crecimiento porcentual</t>
  </si>
  <si>
    <t>Resultados</t>
  </si>
  <si>
    <t>Q4-Q1/Q1 * 100</t>
  </si>
  <si>
    <t>A1</t>
  </si>
  <si>
    <t>A2</t>
  </si>
  <si>
    <t>A3</t>
  </si>
  <si>
    <t>Q1=</t>
  </si>
  <si>
    <t>AÑO3</t>
  </si>
  <si>
    <t>q2</t>
  </si>
  <si>
    <t>q3</t>
  </si>
  <si>
    <t>q4</t>
  </si>
  <si>
    <t>Promedio</t>
  </si>
  <si>
    <t>Q2</t>
  </si>
  <si>
    <t>Q3</t>
  </si>
  <si>
    <t>Q4</t>
  </si>
  <si>
    <t xml:space="preserve">TABLA COMPLETA DE DATOS </t>
  </si>
  <si>
    <t>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</si>
</sst>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228600</xdr:colOff>
      <xdr:row>1</xdr:row>
      <xdr:rowOff>9525</xdr:rowOff>
    </xdr:from>
    <xdr:to>
      <xdr:col>4</xdr:col>
      <xdr:colOff>66865</xdr:colOff>
      <xdr:row>8</xdr:row>
      <xdr:rowOff>76395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C498D62-0E85-674D-5425-624AD8197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00" y="200025"/>
          <a:ext cx="1362265" cy="1400370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590550</xdr:colOff>
      <xdr:row>32</xdr:row>
      <xdr:rowOff>47625</xdr:rowOff>
    </xdr:from>
    <xdr:to>
      <xdr:col>9</xdr:col>
      <xdr:colOff>524823</xdr:colOff>
      <xdr:row>52</xdr:row>
      <xdr:rowOff>38630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BBB5E0-E94A-B55D-EDD6-671D671D6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0550" y="6143625"/>
          <a:ext cx="6792273" cy="38010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641360</xdr:colOff>
      <xdr:row>20</xdr:row>
      <xdr:rowOff>108514</xdr:rowOff>
    </xdr:from>
    <xdr:to>
      <xdr:col>20</xdr:col>
      <xdr:colOff>569945</xdr:colOff>
      <xdr:row>40</xdr:row>
      <xdr:rowOff>97106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41E477E-B6BD-4CD9-B8CF-707343B63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79113" y="3966742"/>
          <a:ext cx="6764883" cy="38468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173774</xdr:colOff>
      <xdr:row>5</xdr:row>
      <xdr:rowOff>147749</xdr:rowOff>
    </xdr:from>
    <xdr:to>
      <xdr:col>27</xdr:col>
      <xdr:colOff>260812</xdr:colOff>
      <xdr:row>18</xdr:row>
      <xdr:rowOff>79713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5E169B-A849-9940-C1A9-CA4F1745C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48426" y="1112306"/>
          <a:ext cx="10721278" cy="2439812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285750</xdr:colOff>
      <xdr:row>29</xdr:row>
      <xdr:rowOff>47625</xdr:rowOff>
    </xdr:from>
    <xdr:to>
      <xdr:col>13</xdr:col>
      <xdr:colOff>10444</xdr:colOff>
      <xdr:row>48</xdr:row>
      <xdr:rowOff>133867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7FE1230-37E4-FB8A-A711-858BF32E2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33750" y="5572125"/>
          <a:ext cx="6582694" cy="3705742"/>
        </a:xfrm>
        <a:prstGeom prst="rect">
          <a:avLst/>
        </a:prstGeom>
      </xdr:spPr>
    </xdr:pic>
    <xdr:clientData/>
  </xdr:twoCellAnchor>
  <xdr:twoCellAnchor editAs="oneCell">
    <xdr:from>
      <xdr:col>12</xdr:col>
      <xdr:colOff>289368</xdr:colOff>
      <xdr:row>18</xdr:row>
      <xdr:rowOff>108512</xdr:rowOff>
    </xdr:from>
    <xdr:to>
      <xdr:col>20</xdr:col>
      <xdr:colOff>669533</xdr:colOff>
      <xdr:row>46</xdr:row>
      <xdr:rowOff>192910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5660C04-25A7-4CAC-A18C-F56932897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404431" y="3580917"/>
          <a:ext cx="6456874" cy="54859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C17E3-3308-41AA-BE84-E71608B6AB49}">
  <dimension ref="A2:E11"/>
  <sheetViews>
    <sheetView workbookViewId="0">
      <selection activeCell="E13" sqref="E13"/>
    </sheetView>
  </sheetViews>
  <sheetFormatPr baseColWidth="10" defaultRowHeight="15" x14ac:dyDescent="0.25"/>
  <sheetData>
    <row r="2" spans="1:5" x14ac:dyDescent="0.25">
      <c r="E2" s="1">
        <v>46247</v>
      </c>
    </row>
    <row r="4" spans="1:5" x14ac:dyDescent="0.25">
      <c r="B4" t="s">
        <v>0</v>
      </c>
    </row>
    <row r="5" spans="1:5" x14ac:dyDescent="0.25">
      <c r="B5">
        <v>3300</v>
      </c>
      <c r="C5">
        <v>1950</v>
      </c>
      <c r="D5" s="2">
        <f>(B5-C5)/C5*100</f>
        <v>69.230769230769226</v>
      </c>
    </row>
    <row r="7" spans="1:5" x14ac:dyDescent="0.25">
      <c r="A7" t="s">
        <v>1</v>
      </c>
      <c r="B7">
        <v>900</v>
      </c>
      <c r="C7">
        <v>1150</v>
      </c>
      <c r="D7">
        <v>1600</v>
      </c>
      <c r="E7" s="3">
        <f>(B7+C7+D7)/3</f>
        <v>1216.6666666666667</v>
      </c>
    </row>
    <row r="8" spans="1:5" x14ac:dyDescent="0.25">
      <c r="A8" t="s">
        <v>1</v>
      </c>
      <c r="E8" s="3"/>
    </row>
    <row r="9" spans="1:5" x14ac:dyDescent="0.25">
      <c r="B9">
        <v>1150</v>
      </c>
      <c r="C9">
        <v>1600</v>
      </c>
      <c r="D9">
        <v>1950</v>
      </c>
      <c r="E9" s="3">
        <f>(B9+C9+D9)/3</f>
        <v>1566.6666666666667</v>
      </c>
    </row>
    <row r="11" spans="1:5" x14ac:dyDescent="0.25">
      <c r="C1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67671-C1E5-4414-BA7B-602D9F526129}">
  <dimension ref="B12:F25"/>
  <sheetViews>
    <sheetView workbookViewId="0">
      <selection activeCell="L11" sqref="L11"/>
    </sheetView>
  </sheetViews>
  <sheetFormatPr baseColWidth="10" defaultRowHeight="15" x14ac:dyDescent="0.25"/>
  <sheetData>
    <row r="12" spans="2:5" x14ac:dyDescent="0.25">
      <c r="B12" t="s">
        <v>3</v>
      </c>
      <c r="C12">
        <v>180</v>
      </c>
      <c r="D12">
        <v>100</v>
      </c>
      <c r="E12">
        <f>(C12-D12)/(D12)*100</f>
        <v>80</v>
      </c>
    </row>
    <row r="14" spans="2:5" x14ac:dyDescent="0.25">
      <c r="E14" t="s">
        <v>4</v>
      </c>
    </row>
    <row r="15" spans="2:5" x14ac:dyDescent="0.25">
      <c r="C15">
        <v>100</v>
      </c>
      <c r="E15">
        <f>AVERAGE(C15:C20)</f>
        <v>141.66666666666666</v>
      </c>
    </row>
    <row r="16" spans="2:5" x14ac:dyDescent="0.25">
      <c r="C16">
        <v>120</v>
      </c>
    </row>
    <row r="17" spans="2:6" x14ac:dyDescent="0.25">
      <c r="C17">
        <v>130</v>
      </c>
    </row>
    <row r="18" spans="2:6" x14ac:dyDescent="0.25">
      <c r="C18">
        <v>150</v>
      </c>
    </row>
    <row r="19" spans="2:6" x14ac:dyDescent="0.25">
      <c r="C19">
        <v>170</v>
      </c>
    </row>
    <row r="20" spans="2:6" x14ac:dyDescent="0.25">
      <c r="C20">
        <v>180</v>
      </c>
    </row>
    <row r="22" spans="2:6" x14ac:dyDescent="0.25">
      <c r="B22" t="s">
        <v>5</v>
      </c>
    </row>
    <row r="23" spans="2:6" x14ac:dyDescent="0.25">
      <c r="C23">
        <v>180</v>
      </c>
      <c r="D23">
        <v>100</v>
      </c>
      <c r="E23">
        <f>(C23-D23)/100</f>
        <v>0.8</v>
      </c>
    </row>
    <row r="24" spans="2:6" x14ac:dyDescent="0.25">
      <c r="F24" t="s">
        <v>7</v>
      </c>
    </row>
    <row r="25" spans="2:6" x14ac:dyDescent="0.25">
      <c r="F25" t="s">
        <v>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68C2F-06A9-419F-935C-4F6A87DAACED}">
  <dimension ref="A12:O28"/>
  <sheetViews>
    <sheetView topLeftCell="E8" zoomScale="60" workbookViewId="0">
      <selection activeCell="K32" sqref="K32"/>
    </sheetView>
  </sheetViews>
  <sheetFormatPr baseColWidth="10" defaultRowHeight="15" x14ac:dyDescent="0.25"/>
  <cols>
    <col min="4" max="4" width="18.7109375" customWidth="1"/>
  </cols>
  <sheetData>
    <row r="12" spans="1:15" x14ac:dyDescent="0.25">
      <c r="A12" s="4"/>
      <c r="B12" s="4" t="s">
        <v>9</v>
      </c>
      <c r="C12" s="4"/>
      <c r="D12" s="4" t="s">
        <v>8</v>
      </c>
      <c r="F12" s="5"/>
      <c r="G12" s="5" t="s">
        <v>10</v>
      </c>
      <c r="H12" s="5"/>
      <c r="I12" s="5"/>
      <c r="K12" t="s">
        <v>4</v>
      </c>
      <c r="M12" t="s">
        <v>13</v>
      </c>
    </row>
    <row r="13" spans="1:15" x14ac:dyDescent="0.25">
      <c r="A13" s="4"/>
      <c r="B13" s="4">
        <v>800</v>
      </c>
      <c r="C13" s="4"/>
      <c r="D13" s="4"/>
      <c r="F13" s="5">
        <v>1000</v>
      </c>
      <c r="G13" s="5"/>
      <c r="H13" s="5"/>
      <c r="I13" s="5"/>
      <c r="J13" t="s">
        <v>11</v>
      </c>
      <c r="K13">
        <f>AVERAGE(B13:B24)</f>
        <v>1158.3333333333333</v>
      </c>
      <c r="M13" t="s">
        <v>14</v>
      </c>
      <c r="O13" t="s">
        <v>15</v>
      </c>
    </row>
    <row r="14" spans="1:15" x14ac:dyDescent="0.25">
      <c r="A14" s="4"/>
      <c r="B14" s="4">
        <v>850</v>
      </c>
      <c r="C14" s="4"/>
      <c r="D14" s="4"/>
      <c r="F14" s="5">
        <v>1050</v>
      </c>
      <c r="G14" s="5"/>
      <c r="H14" s="5"/>
      <c r="I14" s="5"/>
      <c r="J14" t="s">
        <v>10</v>
      </c>
      <c r="K14">
        <f>AVERAGE(F13:F24)</f>
        <v>1412.5</v>
      </c>
      <c r="M14" t="s">
        <v>16</v>
      </c>
    </row>
    <row r="15" spans="1:15" x14ac:dyDescent="0.25">
      <c r="A15" s="4"/>
      <c r="B15" s="4">
        <v>900</v>
      </c>
      <c r="C15" s="4"/>
      <c r="D15" s="4">
        <f>(B13+B14+B15)/3</f>
        <v>850</v>
      </c>
      <c r="F15" s="5">
        <v>1100</v>
      </c>
      <c r="G15" s="5"/>
      <c r="H15" s="5">
        <f>(F13+F14+F15)/3</f>
        <v>1050</v>
      </c>
      <c r="I15" s="5"/>
    </row>
    <row r="16" spans="1:15" x14ac:dyDescent="0.25">
      <c r="A16" s="4"/>
      <c r="B16" s="4">
        <v>950</v>
      </c>
      <c r="C16" s="4"/>
      <c r="D16" s="4">
        <f>(B14+B15+B16)/3</f>
        <v>900</v>
      </c>
      <c r="F16" s="5">
        <v>1150</v>
      </c>
      <c r="G16" s="5"/>
      <c r="H16" s="5">
        <f t="shared" ref="H16:H24" si="0">(F14+F15+F16)/3</f>
        <v>1100</v>
      </c>
      <c r="I16" s="5"/>
    </row>
    <row r="17" spans="1:9" x14ac:dyDescent="0.25">
      <c r="A17" s="4"/>
      <c r="B17" s="4">
        <v>1000</v>
      </c>
      <c r="C17" s="4"/>
      <c r="D17" s="4">
        <f>(B15+B16+B17)/3</f>
        <v>950</v>
      </c>
      <c r="F17" s="5">
        <v>1200</v>
      </c>
      <c r="G17" s="5"/>
      <c r="H17" s="5">
        <f t="shared" si="0"/>
        <v>1150</v>
      </c>
      <c r="I17" s="5"/>
    </row>
    <row r="18" spans="1:9" x14ac:dyDescent="0.25">
      <c r="A18" s="4"/>
      <c r="B18" s="4">
        <v>1050</v>
      </c>
      <c r="C18" s="4"/>
      <c r="D18" s="4">
        <f t="shared" ref="D17:D24" si="1">(B16+B17+B18)/3</f>
        <v>1000</v>
      </c>
      <c r="F18" s="5">
        <v>1250</v>
      </c>
      <c r="G18" s="5"/>
      <c r="H18" s="5">
        <f t="shared" si="0"/>
        <v>1200</v>
      </c>
      <c r="I18" s="5"/>
    </row>
    <row r="19" spans="1:9" x14ac:dyDescent="0.25">
      <c r="A19" s="4"/>
      <c r="B19" s="4">
        <v>1100</v>
      </c>
      <c r="C19" s="4"/>
      <c r="D19" s="4">
        <f t="shared" si="1"/>
        <v>1050</v>
      </c>
      <c r="F19" s="5">
        <v>1300</v>
      </c>
      <c r="G19" s="5"/>
      <c r="H19" s="5">
        <f t="shared" si="0"/>
        <v>1250</v>
      </c>
      <c r="I19" s="5"/>
    </row>
    <row r="20" spans="1:9" x14ac:dyDescent="0.25">
      <c r="A20" s="4"/>
      <c r="B20" s="4">
        <v>1150</v>
      </c>
      <c r="C20" s="4"/>
      <c r="D20" s="4">
        <f t="shared" si="1"/>
        <v>1100</v>
      </c>
      <c r="F20" s="5">
        <v>1350</v>
      </c>
      <c r="G20" s="5"/>
      <c r="H20" s="5">
        <f t="shared" si="0"/>
        <v>1300</v>
      </c>
      <c r="I20" s="5"/>
    </row>
    <row r="21" spans="1:9" x14ac:dyDescent="0.25">
      <c r="A21" s="4"/>
      <c r="B21" s="4">
        <v>1200</v>
      </c>
      <c r="C21" s="4"/>
      <c r="D21" s="4">
        <f t="shared" si="1"/>
        <v>1150</v>
      </c>
      <c r="F21" s="5">
        <v>1400</v>
      </c>
      <c r="G21" s="5"/>
      <c r="H21" s="5">
        <f t="shared" si="0"/>
        <v>1350</v>
      </c>
      <c r="I21" s="5"/>
    </row>
    <row r="22" spans="1:9" x14ac:dyDescent="0.25">
      <c r="A22" s="4"/>
      <c r="B22" s="4">
        <v>1300</v>
      </c>
      <c r="C22" s="4"/>
      <c r="D22" s="4">
        <f t="shared" si="1"/>
        <v>1216.6666666666667</v>
      </c>
      <c r="F22" s="5">
        <v>1550</v>
      </c>
      <c r="G22" s="5"/>
      <c r="H22" s="5">
        <f t="shared" si="0"/>
        <v>1433.3333333333333</v>
      </c>
      <c r="I22" s="5"/>
    </row>
    <row r="23" spans="1:9" x14ac:dyDescent="0.25">
      <c r="A23" s="4"/>
      <c r="B23" s="4">
        <v>1600</v>
      </c>
      <c r="C23" s="4"/>
      <c r="D23" s="4">
        <f t="shared" si="1"/>
        <v>1366.6666666666667</v>
      </c>
      <c r="F23" s="5">
        <v>2000</v>
      </c>
      <c r="G23" s="5"/>
      <c r="H23" s="5">
        <f t="shared" si="0"/>
        <v>1650</v>
      </c>
      <c r="I23" s="5"/>
    </row>
    <row r="24" spans="1:9" x14ac:dyDescent="0.25">
      <c r="A24" s="4"/>
      <c r="B24" s="4">
        <v>2000</v>
      </c>
      <c r="C24" s="4"/>
      <c r="D24" s="4">
        <f t="shared" si="1"/>
        <v>1633.3333333333333</v>
      </c>
      <c r="F24" s="5">
        <v>2600</v>
      </c>
      <c r="G24" s="5"/>
      <c r="H24" s="5">
        <f t="shared" si="0"/>
        <v>2050</v>
      </c>
      <c r="I24" s="5"/>
    </row>
    <row r="25" spans="1:9" x14ac:dyDescent="0.25">
      <c r="D25" t="s">
        <v>17</v>
      </c>
      <c r="G25" t="s">
        <v>20</v>
      </c>
      <c r="H25">
        <v>1000</v>
      </c>
    </row>
    <row r="26" spans="1:9" x14ac:dyDescent="0.25">
      <c r="D26" t="s">
        <v>19</v>
      </c>
      <c r="H26" t="s">
        <v>18</v>
      </c>
    </row>
    <row r="27" spans="1:9" x14ac:dyDescent="0.25">
      <c r="E27" t="s">
        <v>12</v>
      </c>
    </row>
    <row r="28" spans="1:9" x14ac:dyDescent="0.25">
      <c r="E28">
        <f>(B24-B13)/(100)</f>
        <v>12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8A1D-49C3-492A-BA8C-5E34F409AC9D}">
  <dimension ref="A3:H28"/>
  <sheetViews>
    <sheetView tabSelected="1" topLeftCell="A15" zoomScale="79" workbookViewId="0">
      <selection activeCell="A3" sqref="A3:J28"/>
    </sheetView>
  </sheetViews>
  <sheetFormatPr baseColWidth="10" defaultRowHeight="15" x14ac:dyDescent="0.25"/>
  <sheetData>
    <row r="3" spans="2:8" x14ac:dyDescent="0.25">
      <c r="C3" t="s">
        <v>21</v>
      </c>
    </row>
    <row r="4" spans="2:8" x14ac:dyDescent="0.25">
      <c r="C4" t="s">
        <v>23</v>
      </c>
      <c r="D4" t="s">
        <v>24</v>
      </c>
      <c r="E4" t="s">
        <v>25</v>
      </c>
    </row>
    <row r="5" spans="2:8" x14ac:dyDescent="0.25">
      <c r="B5" t="s">
        <v>22</v>
      </c>
      <c r="C5">
        <v>2.1</v>
      </c>
      <c r="D5">
        <v>2.2999999999999998</v>
      </c>
      <c r="E5">
        <v>2.6</v>
      </c>
    </row>
    <row r="6" spans="2:8" x14ac:dyDescent="0.25">
      <c r="C6">
        <v>3.2</v>
      </c>
      <c r="D6">
        <v>3.5</v>
      </c>
      <c r="E6">
        <v>3.9</v>
      </c>
    </row>
    <row r="7" spans="2:8" x14ac:dyDescent="0.25">
      <c r="B7" t="s">
        <v>27</v>
      </c>
      <c r="C7">
        <f>C6-C5</f>
        <v>1.1000000000000001</v>
      </c>
      <c r="D7">
        <f>D6-D5</f>
        <v>1.2000000000000002</v>
      </c>
      <c r="E7">
        <f>E6-E5</f>
        <v>1.2999999999999998</v>
      </c>
    </row>
    <row r="9" spans="2:8" x14ac:dyDescent="0.25">
      <c r="C9" t="s">
        <v>26</v>
      </c>
      <c r="F9" t="s">
        <v>41</v>
      </c>
    </row>
    <row r="11" spans="2:8" x14ac:dyDescent="0.25">
      <c r="C11" t="s">
        <v>28</v>
      </c>
      <c r="E11" t="s">
        <v>42</v>
      </c>
      <c r="F11" t="s">
        <v>9</v>
      </c>
      <c r="G11" t="s">
        <v>24</v>
      </c>
      <c r="H11" t="s">
        <v>33</v>
      </c>
    </row>
    <row r="12" spans="2:8" x14ac:dyDescent="0.25">
      <c r="E12" t="s">
        <v>22</v>
      </c>
      <c r="F12">
        <v>2.1</v>
      </c>
      <c r="G12">
        <v>2.2999999999999998</v>
      </c>
      <c r="H12">
        <v>2.6</v>
      </c>
    </row>
    <row r="13" spans="2:8" x14ac:dyDescent="0.25">
      <c r="B13" t="s">
        <v>29</v>
      </c>
      <c r="C13">
        <f>(C6-C5)/(C5)*100</f>
        <v>52.380952380952387</v>
      </c>
      <c r="E13" t="s">
        <v>38</v>
      </c>
      <c r="F13">
        <v>2.4</v>
      </c>
      <c r="G13">
        <v>2.6</v>
      </c>
      <c r="H13">
        <v>2.9</v>
      </c>
    </row>
    <row r="14" spans="2:8" x14ac:dyDescent="0.25">
      <c r="E14" t="s">
        <v>39</v>
      </c>
      <c r="F14">
        <v>2.6</v>
      </c>
      <c r="G14">
        <v>2.8</v>
      </c>
      <c r="H14">
        <v>3.1</v>
      </c>
    </row>
    <row r="15" spans="2:8" x14ac:dyDescent="0.25">
      <c r="B15" t="s">
        <v>30</v>
      </c>
      <c r="C15">
        <f>(D6-D5)/(D5)*100</f>
        <v>52.173913043478272</v>
      </c>
      <c r="E15" t="s">
        <v>40</v>
      </c>
      <c r="F15">
        <v>3.2</v>
      </c>
      <c r="G15">
        <v>3.5</v>
      </c>
      <c r="H15">
        <v>3.9</v>
      </c>
    </row>
    <row r="17" spans="1:3" x14ac:dyDescent="0.25">
      <c r="B17" t="s">
        <v>31</v>
      </c>
      <c r="C17">
        <f>(E6-E5)/(E5)*100</f>
        <v>49.999999999999986</v>
      </c>
    </row>
    <row r="20" spans="1:3" x14ac:dyDescent="0.25">
      <c r="B20" t="s">
        <v>32</v>
      </c>
      <c r="C20">
        <f>H12-F12</f>
        <v>0.5</v>
      </c>
    </row>
    <row r="21" spans="1:3" x14ac:dyDescent="0.25">
      <c r="B21" t="s">
        <v>34</v>
      </c>
      <c r="C21">
        <f>H13-F13</f>
        <v>0.5</v>
      </c>
    </row>
    <row r="22" spans="1:3" x14ac:dyDescent="0.25">
      <c r="B22" t="s">
        <v>35</v>
      </c>
      <c r="C22">
        <f>H14-F14</f>
        <v>0.5</v>
      </c>
    </row>
    <row r="23" spans="1:3" x14ac:dyDescent="0.25">
      <c r="B23" t="s">
        <v>36</v>
      </c>
      <c r="C23">
        <f>H15-F15</f>
        <v>0.69999999999999973</v>
      </c>
    </row>
    <row r="25" spans="1:3" x14ac:dyDescent="0.25">
      <c r="B25" t="s">
        <v>37</v>
      </c>
    </row>
    <row r="26" spans="1:3" x14ac:dyDescent="0.25">
      <c r="A26" t="s">
        <v>29</v>
      </c>
      <c r="B26">
        <f>AVERAGE(F12:F15)</f>
        <v>2.5750000000000002</v>
      </c>
    </row>
    <row r="27" spans="1:3" x14ac:dyDescent="0.25">
      <c r="A27" t="s">
        <v>30</v>
      </c>
      <c r="B27">
        <f>AVERAGE(G12:G15)</f>
        <v>2.8</v>
      </c>
    </row>
    <row r="28" spans="1:3" x14ac:dyDescent="0.25">
      <c r="A28" t="s">
        <v>31</v>
      </c>
      <c r="B28">
        <f>AVERAGE(H12:H15)</f>
        <v>3.125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Hoja3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FREDDY FRANCISCO SANCHEZ ZAMORA</dc:creator>
  <cp:lastModifiedBy>FREDDY FRANCISCO SANCHEZ ZAMORA</cp:lastModifiedBy>
  <dcterms:created xsi:type="dcterms:W3CDTF">2026-08-13T15:42:25Z</dcterms:created>
  <dcterms:modified xsi:type="dcterms:W3CDTF">2026-08-13T17:59:47Z</dcterms:modified>
</cp:coreProperties>
</file>