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604411FA-A722-4188-BB3C-D0CBD005A88F}" xr6:coauthVersionLast="47" xr6:coauthVersionMax="47" xr10:uidLastSave="{00000000-0000-0000-0000-000000000000}"/>
  <bookViews>
    <workbookView xWindow="20370" yWindow="-120" windowWidth="21840" windowHeight="13020" activeTab="2" xr2:uid="{B1FB8BCE-9FB4-49C6-BCBC-52587D5F05CA}"/>
  </bookViews>
  <sheets>
    <sheet name="ejer borrardor no valido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3" l="1"/>
  <c r="B18" i="3"/>
  <c r="B15" i="3"/>
  <c r="G21" i="1"/>
</calcChain>
</file>

<file path=xl/sharedStrings.xml><?xml version="1.0" encoding="utf-8"?>
<sst xmlns="http://schemas.openxmlformats.org/spreadsheetml/2006/main" count="99" uniqueCount="94">
  <si>
    <t>clientes</t>
  </si>
  <si>
    <t>satisfechos</t>
  </si>
  <si>
    <t>insatisfechos</t>
  </si>
  <si>
    <t>Identificar posblacion y muestra</t>
  </si>
  <si>
    <t>N= 1000 poblacion</t>
  </si>
  <si>
    <t>n= 100 muestra</t>
  </si>
  <si>
    <t>X=</t>
  </si>
  <si>
    <t>P = x/n</t>
  </si>
  <si>
    <t>nivel de satisfaccion</t>
  </si>
  <si>
    <t>proporcion</t>
  </si>
  <si>
    <t>IC = p + z raiz p(1-p)/n  fin raiz</t>
  </si>
  <si>
    <t>intervalo confianza dado por el ejercicio 95%</t>
  </si>
  <si>
    <t>1.96</t>
  </si>
  <si>
    <t>z = 1.96</t>
  </si>
  <si>
    <t>p = 0.72</t>
  </si>
  <si>
    <t>n = 100</t>
  </si>
  <si>
    <t>0.72</t>
  </si>
  <si>
    <t>intervalo confianza</t>
  </si>
  <si>
    <t>ME =</t>
  </si>
  <si>
    <t>1.96 (0.0449)</t>
  </si>
  <si>
    <t>IC=</t>
  </si>
  <si>
    <t>0.0449</t>
  </si>
  <si>
    <t>0.088 X 100 = 8.8%</t>
  </si>
  <si>
    <t>indice confianza - 8.8%</t>
  </si>
  <si>
    <t>72% + 8.8 %</t>
  </si>
  <si>
    <t xml:space="preserve">IC= </t>
  </si>
  <si>
    <t xml:space="preserve">63.2 </t>
  </si>
  <si>
    <t>1-0.025</t>
  </si>
  <si>
    <t>es igual a</t>
  </si>
  <si>
    <t>Confianza</t>
  </si>
  <si>
    <t>alfa</t>
  </si>
  <si>
    <t>0.10</t>
  </si>
  <si>
    <t>0.05</t>
  </si>
  <si>
    <t>0.01</t>
  </si>
  <si>
    <t>1.645</t>
  </si>
  <si>
    <t>2.576</t>
  </si>
  <si>
    <t>Z nivel confianza</t>
  </si>
  <si>
    <t>media</t>
  </si>
  <si>
    <t>8.4</t>
  </si>
  <si>
    <t>minutos</t>
  </si>
  <si>
    <t>llamadas</t>
  </si>
  <si>
    <t>S=</t>
  </si>
  <si>
    <t>tamaño muestra (n)</t>
  </si>
  <si>
    <t>gl= n-1</t>
  </si>
  <si>
    <t>gl = 25-1</t>
  </si>
  <si>
    <t>gl=24</t>
  </si>
  <si>
    <t>es=+ - 2.064</t>
  </si>
  <si>
    <t>IC= x(media) +- S/raiz(n)</t>
  </si>
  <si>
    <t xml:space="preserve">ic= 8.4 minutos </t>
  </si>
  <si>
    <t>es+- 2.064</t>
  </si>
  <si>
    <t>por 2/raiz 25</t>
  </si>
  <si>
    <t>profe</t>
  </si>
  <si>
    <t>estudiantes</t>
  </si>
  <si>
    <t>seleccionamos solo 10</t>
  </si>
  <si>
    <t>promedio</t>
  </si>
  <si>
    <t>n</t>
  </si>
  <si>
    <t xml:space="preserve">X promedio </t>
  </si>
  <si>
    <t xml:space="preserve">inferencia </t>
  </si>
  <si>
    <t>1000 confites</t>
  </si>
  <si>
    <t>30 rojos</t>
  </si>
  <si>
    <t>calcular</t>
  </si>
  <si>
    <t>30/100</t>
  </si>
  <si>
    <t>es= 0.30</t>
  </si>
  <si>
    <t>0.30 x 100 = 30%</t>
  </si>
  <si>
    <t>1000 x 0.30</t>
  </si>
  <si>
    <t xml:space="preserve"> ---&gt; rojos</t>
  </si>
  <si>
    <t>1000 llamadas</t>
  </si>
  <si>
    <t>25 llamadas</t>
  </si>
  <si>
    <t>N = 1000</t>
  </si>
  <si>
    <t>n 25</t>
  </si>
  <si>
    <t>tiempo suma llamada 222</t>
  </si>
  <si>
    <t xml:space="preserve">X </t>
  </si>
  <si>
    <t>222/25</t>
  </si>
  <si>
    <t>8.88 minutos</t>
  </si>
  <si>
    <t>desviacion</t>
  </si>
  <si>
    <t>S = 1.60</t>
  </si>
  <si>
    <t>Z= ?</t>
  </si>
  <si>
    <t>95 = 1.96</t>
  </si>
  <si>
    <t>error estandar</t>
  </si>
  <si>
    <t>EE</t>
  </si>
  <si>
    <t>s/ raiz n</t>
  </si>
  <si>
    <t>es= 1.60/ raiz de 25</t>
  </si>
  <si>
    <t>es= 0.32</t>
  </si>
  <si>
    <t>ME= Z * EE</t>
  </si>
  <si>
    <t>Z=1.96</t>
  </si>
  <si>
    <t xml:space="preserve"> EE</t>
  </si>
  <si>
    <t>Z = 1.96(0.32)</t>
  </si>
  <si>
    <t>ME == 0.6272</t>
  </si>
  <si>
    <t>X = 8.88</t>
  </si>
  <si>
    <t>ME = 0.63</t>
  </si>
  <si>
    <t>8.88- 0.63 = 8.25</t>
  </si>
  <si>
    <t>8.88 + 0.63 = 9.51</t>
  </si>
  <si>
    <t xml:space="preserve">el 95 % de confianza sacnadolo con 9 5 es el </t>
  </si>
  <si>
    <t>IC =  X promedio +- Z - S/RAIZ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</si>
</sst>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28575</xdr:rowOff>
    </xdr:from>
    <xdr:to>
      <xdr:col>2</xdr:col>
      <xdr:colOff>523875</xdr:colOff>
      <xdr:row>9</xdr:row>
      <xdr:rowOff>95250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B87C280-8615-63E7-E1D2-BAE4D6FD62E9}"/>
            </a:ext>
          </a:extLst>
        </xdr:cNvPr>
        <xdr:cNvSpPr txBox="1"/>
      </xdr:nvSpPr>
      <xdr:spPr>
        <a:xfrm>
          <a:off x="28575" y="219075"/>
          <a:ext cx="4143375" cy="1590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R" sz="1100"/>
            <a:t>Un call center analiza el histograma del tiempo de espera de sus llamadas y detecta una fuerte asimetría positiva: la mayoría de las llamadas se atienden rápido, pero una "cola" de casos tarda mucho más. Basándose en esto, el equipo decide reportar la mediana y ciertos percentiles (no solo el promedio) como indicador de servicio al cliente, y enfoca recursos en reducir esos casos extremos.</a:t>
          </a:r>
        </a:p>
      </xdr:txBody>
    </xdr:sp>
    <xdr:clientData/>
  </xdr:twoCellAnchor>
  <xdr:twoCellAnchor editAs="oneCell">
    <xdr:from>
      <xdr:col>0</xdr:col>
      <xdr:colOff>9526</xdr:colOff>
      <xdr:row>0</xdr:row>
      <xdr:rowOff>19051</xdr:rowOff>
    </xdr:from>
    <xdr:to>
      <xdr:col>6</xdr:col>
      <xdr:colOff>228601</xdr:colOff>
      <xdr:row>16</xdr:row>
      <xdr:rowOff>173939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4EA396-1684-C6BB-65ED-42DE81D83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9051"/>
          <a:ext cx="6915150" cy="3202888"/>
        </a:xfrm>
        <a:prstGeom prst="rect">
          <a:avLst/>
        </a:prstGeom>
      </xdr:spPr>
    </xdr:pic>
    <xdr:clientData/>
  </xdr:twoCellAnchor>
  <xdr:twoCellAnchor editAs="oneCell">
    <xdr:from>
      <xdr:col>0</xdr:col>
      <xdr:colOff>1884531</xdr:colOff>
      <xdr:row>35</xdr:row>
      <xdr:rowOff>11754</xdr:rowOff>
    </xdr:from>
    <xdr:to>
      <xdr:col>13</xdr:col>
      <xdr:colOff>35465</xdr:colOff>
      <xdr:row>63</xdr:row>
      <xdr:rowOff>118708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5CBD120-5626-E197-10F5-993438E98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4531" y="6395531"/>
          <a:ext cx="10269977" cy="5213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529225</xdr:colOff>
      <xdr:row>3</xdr:row>
      <xdr:rowOff>71242</xdr:rowOff>
    </xdr:from>
    <xdr:to>
      <xdr:col>19</xdr:col>
      <xdr:colOff>91074</xdr:colOff>
      <xdr:row>19</xdr:row>
      <xdr:rowOff>53654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D993D7-6ECA-B9A1-A022-9D2C870EF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7033" y="658400"/>
          <a:ext cx="6372877" cy="3113918"/>
        </a:xfrm>
        <a:prstGeom prst="rect">
          <a:avLst/>
        </a:prstGeom>
      </xdr:spPr>
    </xdr:pic>
    <xdr:clientData/>
  </xdr:twoCellAnchor>
  <xdr:twoCellAnchor editAs="oneCell">
    <xdr:from>
      <xdr:col>10</xdr:col>
      <xdr:colOff>522338</xdr:colOff>
      <xdr:row>20</xdr:row>
      <xdr:rowOff>15362</xdr:rowOff>
    </xdr:from>
    <xdr:to>
      <xdr:col>23</xdr:col>
      <xdr:colOff>119938</xdr:colOff>
      <xdr:row>44</xdr:row>
      <xdr:rowOff>163484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1A20FC9-C3DF-EB8A-667B-99BB53847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3790" y="3702459"/>
          <a:ext cx="9583487" cy="45726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504825</xdr:colOff>
      <xdr:row>0</xdr:row>
      <xdr:rowOff>114301</xdr:rowOff>
    </xdr:from>
    <xdr:to>
      <xdr:col>29</xdr:col>
      <xdr:colOff>379890</xdr:colOff>
      <xdr:row>20</xdr:row>
      <xdr:rowOff>111332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0DC4CB-CCED-031D-B599-175A10ECC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09890" y="114301"/>
          <a:ext cx="8311494" cy="3708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AA0D-F06E-4C10-8E9B-B9876A5F7592}">
  <dimension ref="A19:J32"/>
  <sheetViews>
    <sheetView topLeftCell="A11" zoomScale="42" workbookViewId="0">
      <selection activeCell="I71" sqref="I71"/>
    </sheetView>
  </sheetViews>
  <sheetFormatPr baseColWidth="10" defaultRowHeight="15" x14ac:dyDescent="0.25"/>
  <cols>
    <col min="1" max="1" width="43.28515625" customWidth="1"/>
  </cols>
  <sheetData>
    <row r="19" spans="1:10" x14ac:dyDescent="0.25">
      <c r="A19" t="s">
        <v>0</v>
      </c>
      <c r="B19" t="s">
        <v>1</v>
      </c>
      <c r="C19" t="s">
        <v>2</v>
      </c>
      <c r="E19" t="s">
        <v>1</v>
      </c>
      <c r="G19" t="s">
        <v>8</v>
      </c>
    </row>
    <row r="20" spans="1:10" x14ac:dyDescent="0.25">
      <c r="A20">
        <v>100</v>
      </c>
      <c r="B20" s="1">
        <v>0.72</v>
      </c>
      <c r="C20" s="1">
        <v>0.28000000000000003</v>
      </c>
      <c r="E20" t="s">
        <v>6</v>
      </c>
      <c r="F20">
        <v>72</v>
      </c>
      <c r="G20" t="s">
        <v>7</v>
      </c>
    </row>
    <row r="21" spans="1:10" x14ac:dyDescent="0.25">
      <c r="G21">
        <f>F20/A20</f>
        <v>0.72</v>
      </c>
    </row>
    <row r="22" spans="1:10" x14ac:dyDescent="0.25">
      <c r="A22" t="s">
        <v>3</v>
      </c>
    </row>
    <row r="23" spans="1:10" x14ac:dyDescent="0.25">
      <c r="A23" t="s">
        <v>4</v>
      </c>
      <c r="G23" t="s">
        <v>11</v>
      </c>
    </row>
    <row r="24" spans="1:10" x14ac:dyDescent="0.25">
      <c r="A24" t="s">
        <v>5</v>
      </c>
    </row>
    <row r="26" spans="1:10" x14ac:dyDescent="0.25">
      <c r="A26" t="s">
        <v>9</v>
      </c>
      <c r="D26" t="s">
        <v>17</v>
      </c>
    </row>
    <row r="27" spans="1:10" x14ac:dyDescent="0.25">
      <c r="A27" t="s">
        <v>10</v>
      </c>
    </row>
    <row r="28" spans="1:10" x14ac:dyDescent="0.25">
      <c r="A28" t="s">
        <v>13</v>
      </c>
      <c r="B28" t="s">
        <v>12</v>
      </c>
      <c r="C28" t="s">
        <v>20</v>
      </c>
      <c r="D28" t="s">
        <v>21</v>
      </c>
      <c r="J28" t="s">
        <v>23</v>
      </c>
    </row>
    <row r="29" spans="1:10" x14ac:dyDescent="0.25">
      <c r="A29" t="s">
        <v>14</v>
      </c>
      <c r="B29" t="s">
        <v>16</v>
      </c>
      <c r="J29" t="s">
        <v>24</v>
      </c>
    </row>
    <row r="30" spans="1:10" x14ac:dyDescent="0.25">
      <c r="A30" t="s">
        <v>15</v>
      </c>
      <c r="B30">
        <v>100</v>
      </c>
      <c r="J30" t="s">
        <v>25</v>
      </c>
    </row>
    <row r="31" spans="1:10" x14ac:dyDescent="0.25">
      <c r="D31" t="s">
        <v>18</v>
      </c>
      <c r="E31" t="s">
        <v>19</v>
      </c>
      <c r="J31" t="s">
        <v>26</v>
      </c>
    </row>
    <row r="32" spans="1:10" x14ac:dyDescent="0.25">
      <c r="E32" t="s">
        <v>22</v>
      </c>
      <c r="J32" s="1">
        <v>8.08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1A79-3A01-48D3-8D6E-A8392C85D5F0}">
  <dimension ref="A3:J21"/>
  <sheetViews>
    <sheetView topLeftCell="A56" zoomScale="84" workbookViewId="0">
      <selection activeCell="G4" sqref="G4"/>
    </sheetView>
  </sheetViews>
  <sheetFormatPr baseColWidth="10" defaultRowHeight="15" x14ac:dyDescent="0.25"/>
  <sheetData>
    <row r="3" spans="1:8" x14ac:dyDescent="0.25">
      <c r="A3" t="s">
        <v>27</v>
      </c>
      <c r="B3" t="s">
        <v>28</v>
      </c>
    </row>
    <row r="6" spans="1:8" x14ac:dyDescent="0.25">
      <c r="B6" t="s">
        <v>29</v>
      </c>
      <c r="C6" t="s">
        <v>30</v>
      </c>
      <c r="D6" t="s">
        <v>36</v>
      </c>
    </row>
    <row r="7" spans="1:8" x14ac:dyDescent="0.25">
      <c r="B7" s="1">
        <v>0.9</v>
      </c>
      <c r="C7" t="s">
        <v>31</v>
      </c>
      <c r="D7" t="s">
        <v>34</v>
      </c>
    </row>
    <row r="8" spans="1:8" x14ac:dyDescent="0.25">
      <c r="B8" s="1">
        <v>0.95</v>
      </c>
      <c r="C8" t="s">
        <v>32</v>
      </c>
      <c r="D8" t="s">
        <v>12</v>
      </c>
    </row>
    <row r="9" spans="1:8" x14ac:dyDescent="0.25">
      <c r="B9" s="1">
        <v>0.99</v>
      </c>
      <c r="C9" t="s">
        <v>33</v>
      </c>
      <c r="D9" t="s">
        <v>35</v>
      </c>
    </row>
    <row r="11" spans="1:8" x14ac:dyDescent="0.25">
      <c r="B11" t="s">
        <v>39</v>
      </c>
      <c r="C11" t="s">
        <v>40</v>
      </c>
      <c r="E11" t="s">
        <v>42</v>
      </c>
      <c r="G11" t="s">
        <v>30</v>
      </c>
    </row>
    <row r="12" spans="1:8" x14ac:dyDescent="0.25">
      <c r="A12" t="s">
        <v>37</v>
      </c>
      <c r="B12" t="s">
        <v>38</v>
      </c>
      <c r="C12">
        <v>25</v>
      </c>
      <c r="E12">
        <v>25</v>
      </c>
      <c r="G12" t="s">
        <v>32</v>
      </c>
    </row>
    <row r="14" spans="1:8" x14ac:dyDescent="0.25">
      <c r="H14" t="s">
        <v>43</v>
      </c>
    </row>
    <row r="15" spans="1:8" x14ac:dyDescent="0.25">
      <c r="A15" t="s">
        <v>41</v>
      </c>
      <c r="B15">
        <v>2</v>
      </c>
      <c r="H15" t="s">
        <v>44</v>
      </c>
    </row>
    <row r="16" spans="1:8" x14ac:dyDescent="0.25">
      <c r="H16" t="s">
        <v>45</v>
      </c>
    </row>
    <row r="17" spans="1:10" x14ac:dyDescent="0.25">
      <c r="A17" s="1">
        <v>0.95</v>
      </c>
    </row>
    <row r="18" spans="1:10" x14ac:dyDescent="0.25">
      <c r="H18" t="s">
        <v>46</v>
      </c>
    </row>
    <row r="20" spans="1:10" x14ac:dyDescent="0.25">
      <c r="G20" t="s">
        <v>47</v>
      </c>
    </row>
    <row r="21" spans="1:10" x14ac:dyDescent="0.25">
      <c r="G21" t="s">
        <v>48</v>
      </c>
      <c r="I21" t="s">
        <v>49</v>
      </c>
      <c r="J21" t="s">
        <v>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07F2-23C0-4673-91B2-B73BCDC55334}">
  <dimension ref="A1:P20"/>
  <sheetViews>
    <sheetView tabSelected="1" topLeftCell="D1" zoomScale="110" workbookViewId="0">
      <selection activeCell="AD17" sqref="AD17"/>
    </sheetView>
  </sheetViews>
  <sheetFormatPr baseColWidth="10" defaultRowHeight="15" x14ac:dyDescent="0.25"/>
  <sheetData>
    <row r="1" spans="1:16" x14ac:dyDescent="0.25">
      <c r="A1" s="2"/>
      <c r="B1" s="2" t="s">
        <v>52</v>
      </c>
      <c r="C1" s="2" t="s">
        <v>53</v>
      </c>
      <c r="D1" s="2"/>
      <c r="E1" s="3"/>
      <c r="F1" s="3"/>
      <c r="G1" s="3"/>
      <c r="H1" s="3"/>
      <c r="I1" s="3"/>
      <c r="J1" s="4" t="s">
        <v>66</v>
      </c>
      <c r="K1" s="4"/>
      <c r="L1" s="4" t="s">
        <v>67</v>
      </c>
      <c r="M1" s="4"/>
      <c r="N1" s="4"/>
      <c r="O1" s="4"/>
      <c r="P1" t="s">
        <v>88</v>
      </c>
    </row>
    <row r="2" spans="1:16" x14ac:dyDescent="0.25">
      <c r="A2" s="2" t="s">
        <v>51</v>
      </c>
      <c r="B2" s="2">
        <v>100</v>
      </c>
      <c r="C2" s="2">
        <v>10</v>
      </c>
      <c r="D2" s="2"/>
      <c r="E2" s="3" t="s">
        <v>58</v>
      </c>
      <c r="F2" s="3"/>
      <c r="G2" s="3" t="s">
        <v>59</v>
      </c>
      <c r="H2" s="3"/>
      <c r="I2" s="3"/>
      <c r="J2" s="4"/>
      <c r="K2" s="4"/>
      <c r="L2" s="4"/>
      <c r="M2" s="4"/>
      <c r="N2" s="4"/>
      <c r="O2" s="4"/>
      <c r="P2" t="s">
        <v>89</v>
      </c>
    </row>
    <row r="3" spans="1:16" x14ac:dyDescent="0.25">
      <c r="A3" s="2"/>
      <c r="B3" s="2"/>
      <c r="C3" s="2"/>
      <c r="D3" s="2"/>
      <c r="E3" s="3"/>
      <c r="F3" s="3"/>
      <c r="G3" s="3"/>
      <c r="H3" s="3"/>
      <c r="I3" s="3"/>
      <c r="J3" s="4" t="s">
        <v>68</v>
      </c>
      <c r="K3" s="4"/>
      <c r="L3" s="4"/>
      <c r="M3" s="4"/>
      <c r="N3" s="4"/>
      <c r="O3" s="4"/>
      <c r="P3" t="s">
        <v>90</v>
      </c>
    </row>
    <row r="4" spans="1:16" x14ac:dyDescent="0.25">
      <c r="A4" s="2"/>
      <c r="B4" s="2"/>
      <c r="C4" s="2"/>
      <c r="D4" s="2"/>
      <c r="E4" s="3"/>
      <c r="F4" s="3"/>
      <c r="G4" s="3"/>
      <c r="H4" s="3"/>
      <c r="I4" s="3"/>
      <c r="J4" s="4" t="s">
        <v>69</v>
      </c>
      <c r="K4" s="4"/>
      <c r="L4" s="4"/>
      <c r="M4" s="4"/>
      <c r="N4" s="4"/>
      <c r="O4" s="4"/>
      <c r="P4" t="s">
        <v>91</v>
      </c>
    </row>
    <row r="5" spans="1:16" x14ac:dyDescent="0.25">
      <c r="A5" s="2">
        <v>70</v>
      </c>
      <c r="B5" s="2"/>
      <c r="C5" s="2"/>
      <c r="D5" s="2"/>
      <c r="E5" s="3" t="s">
        <v>60</v>
      </c>
      <c r="F5" s="3"/>
      <c r="G5" s="3" t="s">
        <v>61</v>
      </c>
      <c r="H5" s="3" t="s">
        <v>62</v>
      </c>
      <c r="I5" s="3"/>
      <c r="J5" s="4" t="s">
        <v>70</v>
      </c>
      <c r="K5" s="4"/>
      <c r="L5" s="4"/>
      <c r="M5" s="4"/>
      <c r="N5" s="4"/>
      <c r="O5" s="4"/>
    </row>
    <row r="6" spans="1:16" x14ac:dyDescent="0.25">
      <c r="A6" s="2">
        <v>80</v>
      </c>
      <c r="B6" s="2"/>
      <c r="C6" s="2"/>
      <c r="D6" s="2"/>
      <c r="E6" s="3"/>
      <c r="F6" s="3"/>
      <c r="G6" s="3"/>
      <c r="H6" s="3" t="s">
        <v>63</v>
      </c>
      <c r="I6" s="3"/>
      <c r="J6" s="4"/>
      <c r="K6" s="4"/>
      <c r="L6" s="4"/>
      <c r="M6" s="4"/>
      <c r="N6" s="4"/>
      <c r="O6" s="4"/>
      <c r="P6" t="s">
        <v>92</v>
      </c>
    </row>
    <row r="7" spans="1:16" x14ac:dyDescent="0.25">
      <c r="A7" s="2">
        <v>75</v>
      </c>
      <c r="B7" s="2"/>
      <c r="C7" s="2"/>
      <c r="D7" s="2"/>
      <c r="E7" s="3"/>
      <c r="F7" s="3"/>
      <c r="G7" s="3"/>
      <c r="H7" s="3"/>
      <c r="I7" s="3"/>
      <c r="J7" s="4"/>
      <c r="K7" s="4"/>
      <c r="L7" s="4"/>
      <c r="M7" s="4"/>
      <c r="N7" s="4"/>
      <c r="O7" s="4"/>
    </row>
    <row r="8" spans="1:16" x14ac:dyDescent="0.25">
      <c r="A8" s="2">
        <v>90</v>
      </c>
      <c r="B8" s="2"/>
      <c r="C8" s="2"/>
      <c r="D8" s="2"/>
      <c r="E8" s="3" t="s">
        <v>64</v>
      </c>
      <c r="F8" s="3">
        <f xml:space="preserve"> 300</f>
        <v>300</v>
      </c>
      <c r="G8" s="3" t="s">
        <v>65</v>
      </c>
      <c r="H8" s="3"/>
      <c r="I8" s="3"/>
      <c r="J8" s="4"/>
      <c r="K8" s="4" t="s">
        <v>71</v>
      </c>
      <c r="L8" s="4" t="s">
        <v>72</v>
      </c>
      <c r="M8" s="4"/>
      <c r="N8" s="4"/>
      <c r="O8" s="4"/>
      <c r="P8" t="s">
        <v>93</v>
      </c>
    </row>
    <row r="9" spans="1:16" x14ac:dyDescent="0.25">
      <c r="A9" s="2">
        <v>85</v>
      </c>
      <c r="B9" s="2"/>
      <c r="C9" s="2"/>
      <c r="D9" s="2"/>
      <c r="E9" s="3"/>
      <c r="F9" s="3"/>
      <c r="G9" s="3"/>
      <c r="H9" s="3"/>
      <c r="I9" s="3"/>
      <c r="J9" s="4"/>
      <c r="K9" s="4" t="s">
        <v>71</v>
      </c>
      <c r="L9" s="4" t="s">
        <v>73</v>
      </c>
      <c r="M9" s="4"/>
      <c r="N9" s="4"/>
      <c r="O9" s="4"/>
    </row>
    <row r="10" spans="1:16" x14ac:dyDescent="0.25">
      <c r="A10" s="2">
        <v>70</v>
      </c>
      <c r="B10" s="2"/>
      <c r="C10" s="2"/>
      <c r="D10" s="2"/>
      <c r="E10" s="3"/>
      <c r="F10" s="3"/>
      <c r="G10" s="3"/>
      <c r="H10" s="3"/>
      <c r="I10" s="3"/>
      <c r="J10" s="4"/>
      <c r="K10" s="4"/>
      <c r="L10" s="4"/>
      <c r="M10" s="4"/>
      <c r="N10" s="4"/>
      <c r="O10" s="4"/>
    </row>
    <row r="11" spans="1:16" x14ac:dyDescent="0.25">
      <c r="A11" s="2">
        <v>80</v>
      </c>
      <c r="B11" s="2"/>
      <c r="C11" s="2"/>
      <c r="D11" s="2"/>
      <c r="E11" s="3"/>
      <c r="F11" s="3"/>
      <c r="G11" s="3"/>
      <c r="H11" s="3"/>
      <c r="I11" s="3"/>
      <c r="J11" s="4"/>
      <c r="K11" s="4" t="s">
        <v>74</v>
      </c>
      <c r="L11" s="4" t="s">
        <v>75</v>
      </c>
      <c r="M11" s="4"/>
      <c r="N11" s="4"/>
      <c r="O11" s="4"/>
    </row>
    <row r="12" spans="1:16" x14ac:dyDescent="0.25">
      <c r="A12" s="2">
        <v>95</v>
      </c>
      <c r="B12" s="2"/>
      <c r="C12" s="2"/>
      <c r="D12" s="2"/>
      <c r="E12" s="3"/>
      <c r="F12" s="3"/>
      <c r="G12" s="3"/>
      <c r="H12" s="3"/>
      <c r="I12" s="3"/>
      <c r="J12" s="4"/>
      <c r="K12" s="4"/>
      <c r="L12" s="4" t="s">
        <v>76</v>
      </c>
      <c r="M12" s="4"/>
      <c r="N12" s="4"/>
      <c r="O12" s="4"/>
    </row>
    <row r="13" spans="1:16" x14ac:dyDescent="0.25">
      <c r="A13" s="2">
        <v>75</v>
      </c>
      <c r="B13" s="2"/>
      <c r="C13" s="2"/>
      <c r="D13" s="2"/>
      <c r="E13" s="3"/>
      <c r="F13" s="3"/>
      <c r="G13" s="3"/>
      <c r="H13" s="3"/>
      <c r="I13" s="3"/>
      <c r="J13" s="4"/>
      <c r="K13" s="4"/>
      <c r="L13" s="4"/>
      <c r="M13" s="4"/>
      <c r="N13" s="4"/>
      <c r="O13" s="4"/>
    </row>
    <row r="14" spans="1:16" x14ac:dyDescent="0.25">
      <c r="A14" s="2">
        <v>80</v>
      </c>
      <c r="B14" s="2"/>
      <c r="C14" s="2"/>
      <c r="D14" s="2"/>
      <c r="E14" s="3"/>
      <c r="F14" s="3"/>
      <c r="G14" s="3"/>
      <c r="H14" s="3"/>
      <c r="I14" s="3"/>
      <c r="J14" s="4" t="s">
        <v>77</v>
      </c>
      <c r="K14" s="4" t="s">
        <v>78</v>
      </c>
      <c r="L14" s="4"/>
      <c r="M14" s="4"/>
      <c r="N14" s="4"/>
      <c r="O14" s="4" t="s">
        <v>85</v>
      </c>
    </row>
    <row r="15" spans="1:16" x14ac:dyDescent="0.25">
      <c r="A15" s="2" t="s">
        <v>54</v>
      </c>
      <c r="B15" s="2">
        <f>AVERAGE(A5:A14)</f>
        <v>80</v>
      </c>
      <c r="C15" s="2"/>
      <c r="D15" s="2"/>
      <c r="E15" s="3"/>
      <c r="F15" s="3"/>
      <c r="G15" s="3"/>
      <c r="H15" s="3"/>
      <c r="I15" s="3"/>
      <c r="J15" s="4" t="s">
        <v>84</v>
      </c>
      <c r="K15" s="4" t="s">
        <v>79</v>
      </c>
      <c r="L15" s="4" t="s">
        <v>80</v>
      </c>
      <c r="M15" s="4" t="s">
        <v>81</v>
      </c>
      <c r="N15" s="4"/>
      <c r="O15" s="4" t="s">
        <v>82</v>
      </c>
    </row>
    <row r="16" spans="1:16" x14ac:dyDescent="0.25">
      <c r="A16" s="2"/>
      <c r="B16" s="2"/>
      <c r="C16" s="2"/>
      <c r="D16" s="2"/>
      <c r="E16" s="3"/>
      <c r="F16" s="3"/>
      <c r="G16" s="3"/>
      <c r="H16" s="3"/>
      <c r="I16" s="3"/>
      <c r="J16" s="4"/>
      <c r="K16" s="4"/>
      <c r="L16" s="4"/>
      <c r="M16" s="4"/>
      <c r="N16" s="4"/>
      <c r="O16" s="4"/>
    </row>
    <row r="17" spans="1:15" x14ac:dyDescent="0.25">
      <c r="A17" s="2" t="s">
        <v>55</v>
      </c>
      <c r="B17" s="2">
        <v>10</v>
      </c>
      <c r="C17" s="2"/>
      <c r="D17" s="2"/>
      <c r="E17" s="3"/>
      <c r="F17" s="3"/>
      <c r="G17" s="3"/>
      <c r="H17" s="3"/>
      <c r="I17" s="3"/>
      <c r="J17" s="4" t="s">
        <v>83</v>
      </c>
      <c r="K17" s="4"/>
      <c r="L17" s="4"/>
      <c r="M17" s="4"/>
      <c r="N17" s="4"/>
      <c r="O17" s="4"/>
    </row>
    <row r="18" spans="1:15" x14ac:dyDescent="0.25">
      <c r="A18" s="2" t="s">
        <v>56</v>
      </c>
      <c r="B18" s="2">
        <f>80</f>
        <v>80</v>
      </c>
      <c r="C18" s="2"/>
      <c r="D18" s="2"/>
      <c r="E18" s="3"/>
      <c r="F18" s="3"/>
      <c r="G18" s="3"/>
      <c r="H18" s="3"/>
      <c r="I18" s="3"/>
      <c r="J18" s="4"/>
      <c r="K18" s="4"/>
      <c r="L18" s="4"/>
      <c r="M18" s="4"/>
      <c r="N18" s="4"/>
      <c r="O18" s="4"/>
    </row>
    <row r="19" spans="1:15" x14ac:dyDescent="0.25">
      <c r="A19" s="2"/>
      <c r="B19" s="2"/>
      <c r="C19" s="2"/>
      <c r="D19" s="2"/>
      <c r="E19" s="3"/>
      <c r="F19" s="3"/>
      <c r="G19" s="3"/>
      <c r="H19" s="3"/>
      <c r="I19" s="3"/>
      <c r="J19" s="4" t="s">
        <v>86</v>
      </c>
      <c r="K19" s="4"/>
      <c r="L19" s="4" t="s">
        <v>87</v>
      </c>
      <c r="M19" s="4"/>
      <c r="N19" s="4"/>
      <c r="O19" s="4"/>
    </row>
    <row r="20" spans="1:15" x14ac:dyDescent="0.25">
      <c r="A20" s="2" t="s">
        <v>57</v>
      </c>
      <c r="B20" s="2"/>
      <c r="C20" s="2"/>
      <c r="D20" s="2"/>
      <c r="E20" s="3"/>
      <c r="F20" s="3"/>
      <c r="G20" s="3"/>
      <c r="H20" s="3"/>
      <c r="I20" s="3"/>
      <c r="J20" s="4"/>
      <c r="K20" s="4"/>
      <c r="L20" s="4"/>
      <c r="M20" s="4"/>
      <c r="N20" s="4"/>
      <c r="O2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 borrardor no valido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FRANCISCO SANCHEZ ZAMORA</dc:creator>
  <cp:lastModifiedBy>FREDDY FRANCISCO SANCHEZ ZAMORA</cp:lastModifiedBy>
  <dcterms:created xsi:type="dcterms:W3CDTF">2026-08-06T14:27:58Z</dcterms:created>
  <dcterms:modified xsi:type="dcterms:W3CDTF">2026-08-06T17:46:21Z</dcterms:modified>
</cp:coreProperties>
</file>