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REDDY SANCHEZ ZAMORA\CURSO DE ANALISIS DE DATOS INCOEX\Fundamentos de ciencias de datos\SEMANA3\MODULO 2 Calidad de los datos\Ciencias-de-datos\MOD3\CALCULOS + PYTHON 12-08-26\"/>
    </mc:Choice>
  </mc:AlternateContent>
  <xr:revisionPtr revIDLastSave="0" documentId="8_{C106C3EB-EB61-4855-9222-AC5233C25066}" xr6:coauthVersionLast="47" xr6:coauthVersionMax="47" xr10:uidLastSave="{00000000-0000-0000-0000-000000000000}"/>
  <bookViews>
    <workbookView xWindow="-120" yWindow="-120" windowWidth="20730" windowHeight="11040" activeTab="1" xr2:uid="{CB7D8FB4-7E71-4AD2-9EED-A8F4DE0A65B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2" l="1"/>
  <c r="F11" i="2"/>
  <c r="F8" i="2"/>
  <c r="H3" i="2"/>
  <c r="G3" i="2"/>
  <c r="F3" i="2"/>
  <c r="I12" i="1"/>
  <c r="I5" i="1"/>
  <c r="I6" i="1"/>
  <c r="I7" i="1"/>
  <c r="I8" i="1"/>
  <c r="I9" i="1"/>
  <c r="I10" i="1"/>
  <c r="I4" i="1"/>
  <c r="H5" i="1"/>
  <c r="H6" i="1"/>
  <c r="H7" i="1"/>
  <c r="H8" i="1"/>
  <c r="H9" i="1"/>
  <c r="H10" i="1"/>
  <c r="H4" i="1"/>
  <c r="F5" i="1"/>
  <c r="F6" i="1"/>
  <c r="F7" i="1"/>
  <c r="F8" i="1"/>
  <c r="F9" i="1"/>
  <c r="F10" i="1"/>
  <c r="F4" i="1"/>
</calcChain>
</file>

<file path=xl/sharedStrings.xml><?xml version="1.0" encoding="utf-8"?>
<sst xmlns="http://schemas.openxmlformats.org/spreadsheetml/2006/main" count="21" uniqueCount="19">
  <si>
    <t xml:space="preserve">R MIDE LA RELACION: </t>
  </si>
  <si>
    <t>N</t>
  </si>
  <si>
    <t>SUMA X</t>
  </si>
  <si>
    <t>X 2</t>
  </si>
  <si>
    <t>Y2</t>
  </si>
  <si>
    <t>xy</t>
  </si>
  <si>
    <t xml:space="preserve"> SUMA y</t>
  </si>
  <si>
    <t xml:space="preserve">Promedio </t>
  </si>
  <si>
    <t>X</t>
  </si>
  <si>
    <t>Y</t>
  </si>
  <si>
    <t>x2</t>
  </si>
  <si>
    <t>SUMA XY</t>
  </si>
  <si>
    <t>5, 38, 42, 44, 45, 47, 48, 49, 50, 52, 53, 55, 58, 60, 310</t>
  </si>
  <si>
    <t>Q1</t>
  </si>
  <si>
    <t>Q2</t>
  </si>
  <si>
    <t>Q3</t>
  </si>
  <si>
    <t>RIC</t>
  </si>
  <si>
    <t>Límite inferior</t>
  </si>
  <si>
    <t>Limite 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</si>
</sst>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01178-DC35-445A-8466-AC45B58FC68B}">
  <dimension ref="A1:I12"/>
  <sheetViews>
    <sheetView workbookViewId="0">
      <selection activeCell="C13" sqref="C13"/>
    </sheetView>
  </sheetViews>
  <sheetFormatPr baseColWidth="10" defaultRowHeight="15" x14ac:dyDescent="0.25"/>
  <sheetData>
    <row r="1" spans="1:9" x14ac:dyDescent="0.25">
      <c r="A1" t="s">
        <v>0</v>
      </c>
    </row>
    <row r="3" spans="1:9" x14ac:dyDescent="0.25">
      <c r="C3" t="s">
        <v>7</v>
      </c>
      <c r="D3" t="s">
        <v>8</v>
      </c>
      <c r="E3" s="1"/>
      <c r="F3" t="s">
        <v>10</v>
      </c>
      <c r="G3" t="s">
        <v>9</v>
      </c>
      <c r="H3" t="s">
        <v>4</v>
      </c>
      <c r="I3" t="s">
        <v>5</v>
      </c>
    </row>
    <row r="4" spans="1:9" x14ac:dyDescent="0.25">
      <c r="A4" t="s">
        <v>1</v>
      </c>
      <c r="B4">
        <v>7</v>
      </c>
      <c r="D4">
        <v>2</v>
      </c>
      <c r="E4" s="1"/>
      <c r="F4">
        <f>POWER(D4,2)</f>
        <v>4</v>
      </c>
      <c r="G4">
        <v>45</v>
      </c>
      <c r="H4">
        <f>POWER(G4,2)</f>
        <v>2025</v>
      </c>
      <c r="I4">
        <f>D4*G4</f>
        <v>90</v>
      </c>
    </row>
    <row r="5" spans="1:9" x14ac:dyDescent="0.25">
      <c r="A5" t="s">
        <v>2</v>
      </c>
      <c r="B5">
        <v>23</v>
      </c>
      <c r="D5">
        <v>4</v>
      </c>
      <c r="E5" s="1"/>
      <c r="F5">
        <f t="shared" ref="F5:F10" si="0">POWER(D5,2)</f>
        <v>16</v>
      </c>
      <c r="G5">
        <v>68</v>
      </c>
      <c r="H5">
        <f t="shared" ref="H5:H10" si="1">POWER(G5,2)</f>
        <v>4624</v>
      </c>
      <c r="I5">
        <f t="shared" ref="I5:I10" si="2">D5*G5</f>
        <v>272</v>
      </c>
    </row>
    <row r="6" spans="1:9" x14ac:dyDescent="0.25">
      <c r="A6" t="s">
        <v>6</v>
      </c>
      <c r="B6">
        <v>410</v>
      </c>
      <c r="D6">
        <v>1</v>
      </c>
      <c r="E6" s="1"/>
      <c r="F6">
        <f t="shared" si="0"/>
        <v>1</v>
      </c>
      <c r="G6">
        <v>30</v>
      </c>
      <c r="H6">
        <f t="shared" si="1"/>
        <v>900</v>
      </c>
      <c r="I6">
        <f t="shared" si="2"/>
        <v>30</v>
      </c>
    </row>
    <row r="7" spans="1:9" x14ac:dyDescent="0.25">
      <c r="A7" t="s">
        <v>3</v>
      </c>
      <c r="B7">
        <v>95</v>
      </c>
      <c r="D7">
        <v>6</v>
      </c>
      <c r="E7" s="1"/>
      <c r="F7">
        <f t="shared" si="0"/>
        <v>36</v>
      </c>
      <c r="G7">
        <v>95</v>
      </c>
      <c r="H7">
        <f t="shared" si="1"/>
        <v>9025</v>
      </c>
      <c r="I7">
        <f t="shared" si="2"/>
        <v>570</v>
      </c>
    </row>
    <row r="8" spans="1:9" x14ac:dyDescent="0.25">
      <c r="A8" t="s">
        <v>4</v>
      </c>
      <c r="B8">
        <v>95</v>
      </c>
      <c r="D8">
        <v>3</v>
      </c>
      <c r="E8" s="1"/>
      <c r="F8">
        <f t="shared" si="0"/>
        <v>9</v>
      </c>
      <c r="G8">
        <v>52</v>
      </c>
      <c r="H8">
        <f t="shared" si="1"/>
        <v>2704</v>
      </c>
      <c r="I8">
        <f t="shared" si="2"/>
        <v>156</v>
      </c>
    </row>
    <row r="9" spans="1:9" x14ac:dyDescent="0.25">
      <c r="A9" t="s">
        <v>5</v>
      </c>
      <c r="B9">
        <v>1598</v>
      </c>
      <c r="D9">
        <v>5</v>
      </c>
      <c r="E9" s="1"/>
      <c r="F9">
        <f t="shared" si="0"/>
        <v>25</v>
      </c>
      <c r="G9">
        <v>80</v>
      </c>
      <c r="H9">
        <f t="shared" si="1"/>
        <v>6400</v>
      </c>
      <c r="I9">
        <f t="shared" si="2"/>
        <v>400</v>
      </c>
    </row>
    <row r="10" spans="1:9" x14ac:dyDescent="0.25">
      <c r="D10">
        <v>2</v>
      </c>
      <c r="E10" s="1"/>
      <c r="F10">
        <f t="shared" si="0"/>
        <v>4</v>
      </c>
      <c r="G10">
        <v>40</v>
      </c>
      <c r="H10">
        <f t="shared" si="1"/>
        <v>1600</v>
      </c>
      <c r="I10">
        <f t="shared" si="2"/>
        <v>80</v>
      </c>
    </row>
    <row r="12" spans="1:9" x14ac:dyDescent="0.25">
      <c r="H12" t="s">
        <v>11</v>
      </c>
      <c r="I12">
        <f>SUM(I4:I10)</f>
        <v>1598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60BE2-390A-4E84-A957-287197415634}">
  <dimension ref="B2:H18"/>
  <sheetViews>
    <sheetView tabSelected="1" workbookViewId="0">
      <selection activeCell="H14" sqref="H14"/>
    </sheetView>
  </sheetViews>
  <sheetFormatPr baseColWidth="10" defaultRowHeight="15" x14ac:dyDescent="0.25"/>
  <cols>
    <col min="5" max="5" width="24.85546875" customWidth="1"/>
  </cols>
  <sheetData>
    <row r="2" spans="2:8" x14ac:dyDescent="0.25">
      <c r="F2" t="s">
        <v>13</v>
      </c>
      <c r="G2" t="s">
        <v>14</v>
      </c>
      <c r="H2" t="s">
        <v>15</v>
      </c>
    </row>
    <row r="3" spans="2:8" x14ac:dyDescent="0.25">
      <c r="B3" t="s">
        <v>12</v>
      </c>
      <c r="F3">
        <f>_xlfn.QUARTILE.INC(B4:B18,1)</f>
        <v>44.5</v>
      </c>
      <c r="G3">
        <f>_xlfn.QUARTILE.INC(B4:B18,2)</f>
        <v>49</v>
      </c>
      <c r="H3">
        <f>_xlfn.QUARTILE.INC(B4:B18,3)</f>
        <v>54</v>
      </c>
    </row>
    <row r="4" spans="2:8" x14ac:dyDescent="0.25">
      <c r="B4">
        <v>5</v>
      </c>
    </row>
    <row r="5" spans="2:8" x14ac:dyDescent="0.25">
      <c r="B5">
        <v>38</v>
      </c>
    </row>
    <row r="6" spans="2:8" x14ac:dyDescent="0.25">
      <c r="B6">
        <v>42</v>
      </c>
    </row>
    <row r="7" spans="2:8" x14ac:dyDescent="0.25">
      <c r="B7">
        <v>44</v>
      </c>
      <c r="F7" t="s">
        <v>16</v>
      </c>
      <c r="G7">
        <v>1.5</v>
      </c>
    </row>
    <row r="8" spans="2:8" x14ac:dyDescent="0.25">
      <c r="B8">
        <v>45</v>
      </c>
      <c r="F8">
        <f>H3-F3</f>
        <v>9.5</v>
      </c>
    </row>
    <row r="9" spans="2:8" x14ac:dyDescent="0.25">
      <c r="B9">
        <v>47</v>
      </c>
    </row>
    <row r="10" spans="2:8" x14ac:dyDescent="0.25">
      <c r="B10">
        <v>48</v>
      </c>
      <c r="F10" t="s">
        <v>17</v>
      </c>
    </row>
    <row r="11" spans="2:8" x14ac:dyDescent="0.25">
      <c r="B11">
        <v>49</v>
      </c>
      <c r="F11">
        <f>F3-G7*F8</f>
        <v>30.25</v>
      </c>
    </row>
    <row r="12" spans="2:8" x14ac:dyDescent="0.25">
      <c r="B12">
        <v>50</v>
      </c>
    </row>
    <row r="13" spans="2:8" x14ac:dyDescent="0.25">
      <c r="B13">
        <v>52</v>
      </c>
      <c r="F13" t="s">
        <v>18</v>
      </c>
    </row>
    <row r="14" spans="2:8" x14ac:dyDescent="0.25">
      <c r="B14">
        <v>53</v>
      </c>
      <c r="F14">
        <f>H3-G7*F8</f>
        <v>39.75</v>
      </c>
    </row>
    <row r="15" spans="2:8" x14ac:dyDescent="0.25">
      <c r="B15">
        <v>55</v>
      </c>
    </row>
    <row r="16" spans="2:8" x14ac:dyDescent="0.25">
      <c r="B16">
        <v>58</v>
      </c>
    </row>
    <row r="17" spans="2:2" x14ac:dyDescent="0.25">
      <c r="B17">
        <v>60</v>
      </c>
    </row>
    <row r="18" spans="2:2" x14ac:dyDescent="0.25">
      <c r="B18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FREDDY FRANCISCO SANCHEZ ZAMORA</dc:creator>
  <cp:lastModifiedBy>FREDDY FRANCISCO SANCHEZ ZAMORA</cp:lastModifiedBy>
  <dcterms:created xsi:type="dcterms:W3CDTF">2026-08-12T14:18:04Z</dcterms:created>
  <dcterms:modified xsi:type="dcterms:W3CDTF">2026-08-12T17:25:35Z</dcterms:modified>
</cp:coreProperties>
</file>